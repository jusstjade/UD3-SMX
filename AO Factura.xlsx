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<sst xmlns="http://schemas.openxmlformats.org/spreadsheetml/2006/main" count="35" uniqueCount="35">
  <si>
    <r>
      <rPr>
        <rFont val="Times New Roman"/>
        <color theme="1"/>
        <sz val="30.0"/>
      </rPr>
      <t xml:space="preserve">FACTURA
</t>
    </r>
    <r>
      <rPr>
        <rFont val="Times New Roman"/>
        <color theme="1"/>
        <sz val="13.0"/>
      </rPr>
      <t>Número:                                                                                                                         NIF:
Data:</t>
    </r>
  </si>
  <si>
    <t>Nombre empresa
Dirección Ciudad</t>
  </si>
  <si>
    <t>Cliente: 
Domicilio: 
Ciudad:
NIF:</t>
  </si>
  <si>
    <t>Comentarios:</t>
  </si>
  <si>
    <t>Código</t>
  </si>
  <si>
    <t>Artículo</t>
  </si>
  <si>
    <t>Unidades</t>
  </si>
  <si>
    <t>Precio unitario</t>
  </si>
  <si>
    <t>Subtotal [1]</t>
  </si>
  <si>
    <t>% Descuento</t>
  </si>
  <si>
    <t>Total descuento [2</t>
  </si>
  <si>
    <t>% IVA</t>
  </si>
  <si>
    <t>Total IVA [3]</t>
  </si>
  <si>
    <t>Total con IVA [4]</t>
  </si>
  <si>
    <t>Abrigo talla L</t>
  </si>
  <si>
    <t>Zapatos talla 39</t>
  </si>
  <si>
    <t>Libro de texto</t>
  </si>
  <si>
    <t>Patatas</t>
  </si>
  <si>
    <t>Importe bruto [5]</t>
  </si>
  <si>
    <t>Total descuentos [6]</t>
  </si>
  <si>
    <t>Tipos IVA</t>
  </si>
  <si>
    <t>Base Imponible [7]</t>
  </si>
  <si>
    <t>Importe IVA [8]</t>
  </si>
  <si>
    <t>Forma de pagamiento:</t>
  </si>
  <si>
    <t>TOTAL FACTURA</t>
  </si>
  <si>
    <t>TT-8618RS</t>
  </si>
  <si>
    <t>[1] =D16*E16
[2] =F16*G16
[3] =(F16-H16)*I16
[4] =F16-H16+J16
[5] =SUM(F16:F25)
[6] =SUM(H16:H25)
[7] =SUMIF(I$16:K$25;F27;K$16:K$25)-SUMIF(I$16:K$25;F27;J$16:J$25)
[8] =F27*H27</t>
  </si>
  <si>
    <t>[1]</t>
  </si>
  <si>
    <t>[2]</t>
  </si>
  <si>
    <t>[3]</t>
  </si>
  <si>
    <t>[4]</t>
  </si>
  <si>
    <t>[5]</t>
  </si>
  <si>
    <t>[6]</t>
  </si>
  <si>
    <t>[7]</t>
  </si>
  <si>
    <t>[8]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</si>
</sst>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\€"/>
    <numFmt numFmtId="165" formatCode="0.00&quot; €&quot;"/>
  </numFmts>
  <fonts count="9">
    <font>
      <sz val="10.0"/>
      <color rgb="FF000000"/>
      <name val="Times New Roman"/>
      <scheme val="minor"/>
    </font>
    <font>
      <sz val="30.0"/>
      <color theme="1"/>
      <name val="Arial"/>
    </font>
    <font/>
    <font>
      <sz val="12.0"/>
      <color theme="1"/>
      <name val="Times New Roman"/>
    </font>
    <font>
      <sz val="11.0"/>
      <color theme="1"/>
      <name val="Times New Roman"/>
    </font>
    <font>
      <sz val="10.0"/>
      <color rgb="FF000000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b/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E499"/>
        <bgColor rgb="FFFFE499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right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0"/>
    </xf>
    <xf borderId="4" fillId="2" fontId="6" numFmtId="0" xfId="0" applyAlignment="1" applyBorder="1" applyFill="1" applyFont="1">
      <alignment horizontal="left" readingOrder="0" shrinkToFit="0" vertical="top" wrapText="1"/>
    </xf>
    <xf borderId="4" fillId="2" fontId="6" numFmtId="0" xfId="0" applyAlignment="1" applyBorder="1" applyFont="1">
      <alignment horizontal="center" readingOrder="0" shrinkToFit="0" vertical="top" wrapText="1"/>
    </xf>
    <xf borderId="4" fillId="2" fontId="6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horizontal="right" readingOrder="0" shrinkToFit="0" vertical="top" wrapText="1"/>
    </xf>
    <xf borderId="5" fillId="2" fontId="6" numFmtId="0" xfId="0" applyAlignment="1" applyBorder="1" applyFont="1">
      <alignment horizontal="right" readingOrder="0" shrinkToFit="0" vertical="top" wrapText="1"/>
    </xf>
    <xf borderId="4" fillId="0" fontId="7" numFmtId="1" xfId="0" applyAlignment="1" applyBorder="1" applyFont="1" applyNumberFormat="1">
      <alignment horizontal="right" shrinkToFit="1" vertical="top" wrapText="0"/>
    </xf>
    <xf borderId="4" fillId="0" fontId="4" numFmtId="0" xfId="0" applyAlignment="1" applyBorder="1" applyFont="1">
      <alignment horizontal="left" readingOrder="0" shrinkToFit="0" vertical="top" wrapText="1"/>
    </xf>
    <xf borderId="4" fillId="0" fontId="7" numFmtId="164" xfId="0" applyAlignment="1" applyBorder="1" applyFont="1" applyNumberFormat="1">
      <alignment horizontal="right" shrinkToFit="1" vertical="top" wrapText="0"/>
    </xf>
    <xf borderId="4" fillId="0" fontId="7" numFmtId="10" xfId="0" applyAlignment="1" applyBorder="1" applyFont="1" applyNumberFormat="1">
      <alignment horizontal="right" shrinkToFit="1" vertical="top" wrapText="0"/>
    </xf>
    <xf borderId="1" fillId="0" fontId="7" numFmtId="165" xfId="0" applyAlignment="1" applyBorder="1" applyFont="1" applyNumberFormat="1">
      <alignment horizontal="right" shrinkToFit="1" vertical="top" wrapText="0"/>
    </xf>
    <xf borderId="4" fillId="0" fontId="7" numFmtId="165" xfId="0" applyAlignment="1" applyBorder="1" applyFont="1" applyNumberFormat="1">
      <alignment horizontal="right" shrinkToFit="1" vertical="top" wrapText="0"/>
    </xf>
    <xf borderId="4" fillId="0" fontId="7" numFmtId="0" xfId="0" applyAlignment="1" applyBorder="1" applyFont="1">
      <alignment horizontal="left" shrinkToFit="0" vertical="bottom" wrapText="1"/>
    </xf>
    <xf borderId="1" fillId="2" fontId="6" numFmtId="0" xfId="0" applyAlignment="1" applyBorder="1" applyFont="1">
      <alignment horizontal="center" readingOrder="0" shrinkToFit="0" vertical="top" wrapText="1"/>
    </xf>
    <xf borderId="1" fillId="2" fontId="6" numFmtId="0" xfId="0" applyAlignment="1" applyBorder="1" applyFont="1">
      <alignment horizontal="left" readingOrder="0" shrinkToFit="0" vertical="top" wrapText="1"/>
    </xf>
    <xf borderId="1" fillId="2" fontId="6" numFmtId="0" xfId="0" applyAlignment="1" applyBorder="1" applyFont="1">
      <alignment horizontal="left" shrinkToFit="0" vertical="top" wrapText="1"/>
    </xf>
    <xf borderId="6" fillId="0" fontId="7" numFmtId="164" xfId="0" applyAlignment="1" applyBorder="1" applyFont="1" applyNumberFormat="1">
      <alignment horizontal="center" shrinkToFit="1" vertical="center" wrapText="0"/>
    </xf>
    <xf borderId="7" fillId="0" fontId="2" numFmtId="0" xfId="0" applyBorder="1" applyFont="1"/>
    <xf borderId="6" fillId="0" fontId="7" numFmtId="165" xfId="0" applyAlignment="1" applyBorder="1" applyFont="1" applyNumberFormat="1">
      <alignment horizontal="center" shrinkToFit="1" vertical="center" wrapText="0"/>
    </xf>
    <xf borderId="1" fillId="0" fontId="7" numFmtId="9" xfId="0" applyAlignment="1" applyBorder="1" applyFont="1" applyNumberFormat="1">
      <alignment horizontal="center" shrinkToFit="1" vertical="top" wrapText="0"/>
    </xf>
    <xf borderId="1" fillId="0" fontId="7" numFmtId="164" xfId="0" applyAlignment="1" applyBorder="1" applyFont="1" applyNumberFormat="1">
      <alignment horizontal="right" shrinkToFit="1" vertical="top" wrapText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6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1" vertical="center" wrapText="0"/>
    </xf>
    <xf borderId="0" fillId="0" fontId="4" numFmtId="0" xfId="0" applyAlignment="1" applyFont="1">
      <alignment horizontal="left" shrinkToFit="0" vertical="top" wrapText="1"/>
    </xf>
    <xf borderId="0" fillId="0" fontId="7" numFmtId="165" xfId="0" applyAlignment="1" applyFont="1" applyNumberFormat="1">
      <alignment shrinkToFit="0" vertical="bottom" wrapText="0"/>
    </xf>
    <xf borderId="0" fillId="0" fontId="4" numFmtId="0" xfId="0" applyFont="1"/>
    <xf borderId="0" fillId="0" fontId="4" numFmtId="164" xfId="0" applyAlignment="1" applyFont="1" applyNumberForma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4" numFmtId="164" xfId="0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31.14"/>
    <col customWidth="1" min="3" max="3" width="15.29"/>
    <col customWidth="1" min="4" max="4" width="15.14"/>
    <col customWidth="1" min="5" max="6" width="15.29"/>
    <col customWidth="1" min="7" max="7" width="14.0"/>
    <col customWidth="1" min="8" max="8" width="3.57"/>
    <col customWidth="1" min="9" max="9" width="15.14"/>
    <col customWidth="1" min="10" max="10" width="15.29"/>
    <col customWidth="1" min="11" max="11" width="15.14"/>
    <col customWidth="1" min="12" max="12" width="10.86"/>
    <col customWidth="1" min="13" max="26" width="8.71"/>
  </cols>
  <sheetData>
    <row r="1" ht="66.7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2"/>
      <c r="J1" s="2"/>
      <c r="K1" s="3"/>
      <c r="L1" s="5"/>
    </row>
    <row r="2" ht="72.0" customHeight="1">
      <c r="A2" s="6" t="s">
        <v>2</v>
      </c>
      <c r="B2" s="2"/>
      <c r="C2" s="2"/>
      <c r="D2" s="3"/>
      <c r="E2" s="6" t="s">
        <v>3</v>
      </c>
      <c r="F2" s="2"/>
      <c r="G2" s="2"/>
      <c r="H2" s="2"/>
      <c r="I2" s="2"/>
      <c r="J2" s="2"/>
      <c r="K2" s="3"/>
      <c r="L2" s="7"/>
    </row>
    <row r="3" ht="13.5" customHeight="1">
      <c r="A3" s="8" t="s">
        <v>4</v>
      </c>
      <c r="B3" s="9" t="s">
        <v>5</v>
      </c>
      <c r="C3" s="8" t="s">
        <v>6</v>
      </c>
      <c r="D3" s="8" t="s">
        <v>7</v>
      </c>
      <c r="E3" s="10" t="s">
        <v>8</v>
      </c>
      <c r="F3" s="8" t="s">
        <v>9</v>
      </c>
      <c r="G3" s="11" t="s">
        <v>10</v>
      </c>
      <c r="H3" s="3"/>
      <c r="I3" s="10" t="s">
        <v>11</v>
      </c>
      <c r="J3" s="10" t="s">
        <v>12</v>
      </c>
      <c r="K3" s="12" t="s">
        <v>13</v>
      </c>
      <c r="L3" s="7"/>
    </row>
    <row r="4" ht="13.5" customHeight="1">
      <c r="A4" s="13">
        <v>123935.0</v>
      </c>
      <c r="B4" s="14" t="s">
        <v>14</v>
      </c>
      <c r="C4" s="13">
        <v>2.0</v>
      </c>
      <c r="D4" s="15">
        <v>14.99</v>
      </c>
      <c r="E4" s="15">
        <v>29.98</v>
      </c>
      <c r="F4" s="16">
        <v>0.05</v>
      </c>
      <c r="G4" s="17">
        <v>1.5</v>
      </c>
      <c r="H4" s="3"/>
      <c r="I4" s="16">
        <v>0.21</v>
      </c>
      <c r="J4" s="18">
        <v>5.98</v>
      </c>
      <c r="K4" s="15">
        <v>34.46</v>
      </c>
      <c r="L4" s="7"/>
    </row>
    <row r="5" ht="13.5" customHeight="1">
      <c r="A5" s="13">
        <v>123936.0</v>
      </c>
      <c r="B5" s="14" t="s">
        <v>15</v>
      </c>
      <c r="C5" s="13">
        <v>1.0</v>
      </c>
      <c r="D5" s="15">
        <v>29.15</v>
      </c>
      <c r="E5" s="15">
        <v>29.15</v>
      </c>
      <c r="F5" s="16">
        <v>0.03</v>
      </c>
      <c r="G5" s="17">
        <v>0.87</v>
      </c>
      <c r="H5" s="3"/>
      <c r="I5" s="16">
        <v>0.21</v>
      </c>
      <c r="J5" s="18">
        <v>5.94</v>
      </c>
      <c r="K5" s="15">
        <v>34.21</v>
      </c>
      <c r="L5" s="7"/>
    </row>
    <row r="6" ht="13.5" customHeight="1">
      <c r="A6" s="13">
        <v>123937.0</v>
      </c>
      <c r="B6" s="14" t="s">
        <v>16</v>
      </c>
      <c r="C6" s="13">
        <v>3.0</v>
      </c>
      <c r="D6" s="15">
        <v>25.66</v>
      </c>
      <c r="E6" s="15">
        <v>76.98</v>
      </c>
      <c r="F6" s="16">
        <v>0.1</v>
      </c>
      <c r="G6" s="17">
        <v>7.7</v>
      </c>
      <c r="H6" s="3"/>
      <c r="I6" s="16">
        <v>0.1</v>
      </c>
      <c r="J6" s="18">
        <v>6.93</v>
      </c>
      <c r="K6" s="15">
        <v>76.21</v>
      </c>
      <c r="L6" s="7"/>
    </row>
    <row r="7" ht="13.5" customHeight="1">
      <c r="A7" s="13">
        <v>123938.0</v>
      </c>
      <c r="B7" s="14" t="s">
        <v>17</v>
      </c>
      <c r="C7" s="13">
        <v>5.0</v>
      </c>
      <c r="D7" s="15">
        <v>0.85</v>
      </c>
      <c r="E7" s="15">
        <v>4.25</v>
      </c>
      <c r="F7" s="19"/>
      <c r="G7" s="17">
        <v>0.0</v>
      </c>
      <c r="H7" s="3"/>
      <c r="I7" s="16">
        <v>0.04</v>
      </c>
      <c r="J7" s="18">
        <v>0.17</v>
      </c>
      <c r="K7" s="15">
        <v>4.42</v>
      </c>
      <c r="L7" s="7"/>
    </row>
    <row r="8" ht="13.5" customHeight="1">
      <c r="A8" s="19"/>
      <c r="B8" s="19"/>
      <c r="C8" s="19"/>
      <c r="D8" s="19"/>
      <c r="E8" s="13">
        <v>0.0</v>
      </c>
      <c r="F8" s="19"/>
      <c r="G8" s="17">
        <v>0.0</v>
      </c>
      <c r="H8" s="3"/>
      <c r="I8" s="19"/>
      <c r="J8" s="18">
        <v>0.0</v>
      </c>
      <c r="K8" s="18">
        <v>0.0</v>
      </c>
      <c r="L8" s="7"/>
    </row>
    <row r="9" ht="13.5" customHeight="1">
      <c r="A9" s="19"/>
      <c r="B9" s="19"/>
      <c r="C9" s="19"/>
      <c r="D9" s="19"/>
      <c r="E9" s="13">
        <v>0.0</v>
      </c>
      <c r="F9" s="19"/>
      <c r="G9" s="17">
        <v>0.0</v>
      </c>
      <c r="H9" s="3"/>
      <c r="I9" s="19"/>
      <c r="J9" s="18">
        <v>0.0</v>
      </c>
      <c r="K9" s="18">
        <v>0.0</v>
      </c>
      <c r="L9" s="7"/>
    </row>
    <row r="10" ht="13.5" customHeight="1">
      <c r="A10" s="19"/>
      <c r="B10" s="19"/>
      <c r="C10" s="19"/>
      <c r="D10" s="19"/>
      <c r="E10" s="13">
        <v>0.0</v>
      </c>
      <c r="F10" s="19"/>
      <c r="G10" s="17">
        <v>0.0</v>
      </c>
      <c r="H10" s="3"/>
      <c r="I10" s="19"/>
      <c r="J10" s="18">
        <v>0.0</v>
      </c>
      <c r="K10" s="18">
        <v>0.0</v>
      </c>
      <c r="L10" s="7"/>
    </row>
    <row r="11" ht="13.5" customHeight="1">
      <c r="A11" s="19"/>
      <c r="B11" s="19"/>
      <c r="C11" s="19"/>
      <c r="D11" s="19"/>
      <c r="E11" s="13">
        <v>0.0</v>
      </c>
      <c r="F11" s="19"/>
      <c r="G11" s="17">
        <v>0.0</v>
      </c>
      <c r="H11" s="3"/>
      <c r="I11" s="19"/>
      <c r="J11" s="18">
        <v>0.0</v>
      </c>
      <c r="K11" s="18">
        <v>0.0</v>
      </c>
      <c r="L11" s="7"/>
    </row>
    <row r="12" ht="13.5" customHeight="1">
      <c r="A12" s="19"/>
      <c r="B12" s="19"/>
      <c r="C12" s="19"/>
      <c r="D12" s="19"/>
      <c r="E12" s="13">
        <v>0.0</v>
      </c>
      <c r="F12" s="19"/>
      <c r="G12" s="17">
        <v>0.0</v>
      </c>
      <c r="H12" s="3"/>
      <c r="I12" s="19"/>
      <c r="J12" s="18">
        <v>0.0</v>
      </c>
      <c r="K12" s="18">
        <v>0.0</v>
      </c>
      <c r="L12" s="7"/>
    </row>
    <row r="13" ht="13.5" customHeight="1">
      <c r="A13" s="19"/>
      <c r="B13" s="19"/>
      <c r="C13" s="19"/>
      <c r="D13" s="19"/>
      <c r="E13" s="13">
        <v>0.0</v>
      </c>
      <c r="F13" s="19"/>
      <c r="G13" s="17">
        <v>0.0</v>
      </c>
      <c r="H13" s="3"/>
      <c r="I13" s="19"/>
      <c r="J13" s="18">
        <v>0.0</v>
      </c>
      <c r="K13" s="18">
        <v>0.0</v>
      </c>
      <c r="L13" s="7"/>
    </row>
    <row r="14" ht="13.5" customHeight="1">
      <c r="A14" s="20" t="s">
        <v>18</v>
      </c>
      <c r="B14" s="3"/>
      <c r="C14" s="21" t="s">
        <v>19</v>
      </c>
      <c r="D14" s="3"/>
      <c r="E14" s="20" t="s">
        <v>20</v>
      </c>
      <c r="F14" s="3"/>
      <c r="G14" s="22" t="s">
        <v>21</v>
      </c>
      <c r="H14" s="2"/>
      <c r="I14" s="3"/>
      <c r="J14" s="21" t="s">
        <v>22</v>
      </c>
      <c r="K14" s="3"/>
      <c r="L14" s="7"/>
    </row>
    <row r="15" ht="13.5" customHeight="1">
      <c r="A15" s="23">
        <v>140.36</v>
      </c>
      <c r="B15" s="24"/>
      <c r="C15" s="25">
        <v>10.07</v>
      </c>
      <c r="D15" s="24"/>
      <c r="E15" s="26">
        <v>0.04</v>
      </c>
      <c r="F15" s="3"/>
      <c r="G15" s="17">
        <v>4.25</v>
      </c>
      <c r="H15" s="2"/>
      <c r="I15" s="3"/>
      <c r="J15" s="27">
        <v>0.17</v>
      </c>
      <c r="K15" s="3"/>
      <c r="L15" s="7"/>
    </row>
    <row r="16" ht="13.5" customHeight="1">
      <c r="A16" s="28"/>
      <c r="B16" s="29"/>
      <c r="C16" s="28"/>
      <c r="D16" s="29"/>
      <c r="E16" s="26">
        <v>0.1</v>
      </c>
      <c r="F16" s="3"/>
      <c r="G16" s="17">
        <v>69.28</v>
      </c>
      <c r="H16" s="2"/>
      <c r="I16" s="3"/>
      <c r="J16" s="27">
        <v>6.93</v>
      </c>
      <c r="K16" s="3"/>
      <c r="L16" s="7"/>
    </row>
    <row r="17" ht="13.5" customHeight="1">
      <c r="A17" s="30"/>
      <c r="B17" s="31"/>
      <c r="C17" s="30"/>
      <c r="D17" s="31"/>
      <c r="E17" s="26">
        <v>0.21</v>
      </c>
      <c r="F17" s="3"/>
      <c r="G17" s="17">
        <v>56.76</v>
      </c>
      <c r="H17" s="2"/>
      <c r="I17" s="3"/>
      <c r="J17" s="27">
        <v>11.92</v>
      </c>
      <c r="K17" s="3"/>
      <c r="L17" s="7"/>
    </row>
    <row r="18" ht="40.5" customHeight="1">
      <c r="A18" s="32" t="s">
        <v>23</v>
      </c>
      <c r="B18" s="2"/>
      <c r="C18" s="2"/>
      <c r="D18" s="3"/>
      <c r="E18" s="33" t="s">
        <v>24</v>
      </c>
      <c r="F18" s="2"/>
      <c r="G18" s="2"/>
      <c r="H18" s="2"/>
      <c r="I18" s="3"/>
      <c r="J18" s="34">
        <v>149.31</v>
      </c>
      <c r="K18" s="3"/>
      <c r="L18" s="7"/>
    </row>
    <row r="19" ht="16.5" customHeight="1">
      <c r="A19" s="35" t="s">
        <v>25</v>
      </c>
    </row>
    <row r="20" ht="119.25" customHeight="1">
      <c r="A20" s="35" t="s">
        <v>26</v>
      </c>
    </row>
    <row r="21" ht="15.75" customHeight="1">
      <c r="A21" s="36">
        <f>C4*D4</f>
        <v>29.98</v>
      </c>
      <c r="B21" s="37" t="s">
        <v>27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ht="15.75" customHeight="1">
      <c r="A22" s="37">
        <f>E4*F4</f>
        <v>1.499</v>
      </c>
      <c r="B22" s="37" t="s">
        <v>28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ht="15.75" customHeight="1">
      <c r="A23" s="38">
        <f>(E4-G4)*I4</f>
        <v>5.9808</v>
      </c>
      <c r="B23" s="37" t="s">
        <v>29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ht="15.75" customHeight="1">
      <c r="A24" s="39">
        <f>E4-G4+I4</f>
        <v>28.69</v>
      </c>
      <c r="B24" s="37" t="s">
        <v>30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ht="15.75" customHeight="1">
      <c r="A25" s="40">
        <f>SUM(E4:E13)</f>
        <v>140.36</v>
      </c>
      <c r="B25" s="37" t="s">
        <v>31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ht="15.75" customHeight="1">
      <c r="A26" s="41">
        <f>SUM(G4:H13)</f>
        <v>10.07</v>
      </c>
      <c r="B26" s="37" t="s">
        <v>32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ht="15.75" customHeight="1">
      <c r="A27" s="37"/>
      <c r="B27" s="37" t="s">
        <v>33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ht="15.75" customHeight="1">
      <c r="A28" s="37">
        <f>E16*G16</f>
        <v>6.928</v>
      </c>
      <c r="B28" s="37" t="s">
        <v>34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C15:D17"/>
    <mergeCell ref="E17:F17"/>
    <mergeCell ref="A19:L19"/>
    <mergeCell ref="A20:L20"/>
    <mergeCell ref="G13:H13"/>
    <mergeCell ref="A14:B14"/>
    <mergeCell ref="C14:D14"/>
    <mergeCell ref="G14:I14"/>
    <mergeCell ref="J14:K14"/>
    <mergeCell ref="A15:B17"/>
    <mergeCell ref="J16:K16"/>
    <mergeCell ref="A1:G1"/>
    <mergeCell ref="H1:K1"/>
    <mergeCell ref="A2:D2"/>
    <mergeCell ref="E2:K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E14:F14"/>
    <mergeCell ref="E15:F15"/>
    <mergeCell ref="G15:I15"/>
    <mergeCell ref="J15:K15"/>
    <mergeCell ref="E16:F16"/>
    <mergeCell ref="G16:I16"/>
    <mergeCell ref="G17:I17"/>
    <mergeCell ref="J17:K17"/>
    <mergeCell ref="A18:D18"/>
    <mergeCell ref="E18:I18"/>
    <mergeCell ref="J18:K18"/>
  </mergeCells>
  <printOptions/>
  <pageMargins bottom="0.75" footer="0.0" header="0.0" left="0.7" right="0.7" top="0.75"/>
  <pageSetup paperSize="9" orientation="portrait"/>
  <drawing r:id="rId1"/>
</worksheet>
</file>